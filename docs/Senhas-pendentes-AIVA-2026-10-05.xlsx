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ojas" sheetId="2" state="visible" r:id="rId2"/>
  </sheets>
  <definedNames>
    <definedName name="_xlnm._FilterDatabase" localSheetId="1" hidden="1">'Lojas'!$A$1:$K$18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165" fontId="4" fillId="0" borderId="0" applyAlignment="1" pivotButton="0" quotePrefix="0" xfId="0">
      <alignment vertical="top"/>
    </xf>
    <xf numFmtId="1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</cols>
  <sheetData>
    <row r="1">
      <c r="A1" s="1" t="inlineStr">
        <is>
          <t>Lojas criadas na AIVA sem senha do sócio enviada</t>
        </is>
      </c>
    </row>
    <row r="2">
      <c r="A2" s="2" t="inlineStr">
        <is>
          <t>Track Tecnologia · posição de 05/10/2026 · fonte: Portal Parceiros AIVA (pedidos de acesso sem data de envio)</t>
        </is>
      </c>
    </row>
    <row r="4">
      <c r="A4" s="3" t="inlineStr">
        <is>
          <t>Indicador</t>
        </is>
      </c>
      <c r="B4" s="3" t="inlineStr">
        <is>
          <t>Valor</t>
        </is>
      </c>
    </row>
    <row r="5">
      <c r="A5" s="4" t="inlineStr">
        <is>
          <t>Lojas na lista</t>
        </is>
      </c>
      <c r="B5" s="4" t="n">
        <v>17</v>
      </c>
    </row>
    <row r="6">
      <c r="A6" s="4" t="inlineStr">
        <is>
          <t>Senha pedida em agosto (há mais de 5 semanas)</t>
        </is>
      </c>
      <c r="B6" s="4" t="n">
        <v>12</v>
      </c>
    </row>
    <row r="7">
      <c r="A7" s="4" t="inlineStr">
        <is>
          <t>Senha pedida em setembro</t>
        </is>
      </c>
      <c r="B7" s="4" t="n">
        <v>5</v>
      </c>
    </row>
    <row r="8">
      <c r="A8" s="4" t="inlineStr">
        <is>
          <t>Pedido mais antigo</t>
        </is>
      </c>
      <c r="B8" s="4" t="inlineStr">
        <is>
          <t>21/08/2026</t>
        </is>
      </c>
    </row>
    <row r="9">
      <c r="A9" s="4" t="inlineStr">
        <is>
          <t>Lojas com alguma consulta ou venda</t>
        </is>
      </c>
      <c r="B9" s="4" t="n">
        <v>0</v>
      </c>
    </row>
    <row r="11">
      <c r="A11" s="5" t="inlineStr">
        <is>
          <t>O que pedimos: enviar (ou reenviar) a senha do sócio para as lojas da aba "Lojas".</t>
        </is>
      </c>
    </row>
    <row r="12">
      <c r="A12" s="5" t="inlineStr">
        <is>
          <t>Todas têm ID de loja ativo no portal e nenhuma consulta ou venda registrada — sem a senha, não conseguem operar.</t>
        </is>
      </c>
    </row>
    <row r="13">
      <c r="A13" s="5" t="inlineStr">
        <is>
          <t>Se alguma senha já foi entregue por outro canal, é só nos avisar que a gente retoma o contato com o lojista.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20" customWidth="1" min="3" max="3"/>
    <col width="11" customWidth="1" min="4" max="4"/>
    <col width="15" customWidth="1" min="5" max="5"/>
    <col width="16" customWidth="1" min="6" max="6"/>
    <col width="14" customWidth="1" min="7" max="7"/>
    <col width="30" customWidth="1" min="8" max="8"/>
    <col width="22" customWidth="1" min="9" max="9"/>
    <col width="10" customWidth="1" min="10" max="10"/>
    <col width="9" customWidth="1" min="11" max="11"/>
  </cols>
  <sheetData>
    <row r="1" ht="32" customHeight="1">
      <c r="A1" s="6" t="inlineStr">
        <is>
          <t>Loja</t>
        </is>
      </c>
      <c r="B1" s="6" t="inlineStr">
        <is>
          <t>Nome no portal</t>
        </is>
      </c>
      <c r="C1" s="6" t="inlineStr">
        <is>
          <t>CNPJ</t>
        </is>
      </c>
      <c r="D1" s="6" t="inlineStr">
        <is>
          <t>ID da loja</t>
        </is>
      </c>
      <c r="E1" s="6" t="inlineStr">
        <is>
          <t>Loja criada em</t>
        </is>
      </c>
      <c r="F1" s="6" t="inlineStr">
        <is>
          <t>Senha pedida em</t>
        </is>
      </c>
      <c r="G1" s="6" t="inlineStr">
        <is>
          <t>Dias esperando a senha</t>
        </is>
      </c>
      <c r="H1" s="6" t="inlineStr">
        <is>
          <t>Sócio</t>
        </is>
      </c>
      <c r="I1" s="6" t="inlineStr">
        <is>
          <t>Telefone do sócio (WhatsApp)</t>
        </is>
      </c>
      <c r="J1" s="6" t="inlineStr">
        <is>
          <t>Consultas</t>
        </is>
      </c>
      <c r="K1" s="6" t="inlineStr">
        <is>
          <t>Vendas</t>
        </is>
      </c>
    </row>
    <row r="2">
      <c r="A2" s="7" t="inlineStr">
        <is>
          <t>Skycell Celulares</t>
        </is>
      </c>
      <c r="B2" s="7" t="inlineStr">
        <is>
          <t>skycell-celulares-ltda</t>
        </is>
      </c>
      <c r="C2" s="8" t="inlineStr">
        <is>
          <t>08.745.387/0001-17</t>
        </is>
      </c>
      <c r="D2" s="8" t="inlineStr">
        <is>
          <t>5667</t>
        </is>
      </c>
      <c r="E2" s="9" t="n">
        <v>46218</v>
      </c>
      <c r="F2" s="9" t="n">
        <v>46255</v>
      </c>
      <c r="G2" s="10">
        <f>DATE(2026,10,5)-F2</f>
        <v/>
      </c>
      <c r="H2" s="7" t="inlineStr">
        <is>
          <t>Raphael</t>
        </is>
      </c>
      <c r="I2" s="8" t="inlineStr">
        <is>
          <t>5535991727717</t>
        </is>
      </c>
      <c r="J2" s="7" t="n">
        <v>0</v>
      </c>
      <c r="K2" s="7" t="n">
        <v>0</v>
      </c>
    </row>
    <row r="3">
      <c r="A3" s="7" t="inlineStr">
        <is>
          <t>Stoniki</t>
        </is>
      </c>
      <c r="B3" s="7" t="inlineStr">
        <is>
          <t>stoniki</t>
        </is>
      </c>
      <c r="C3" s="8" t="inlineStr">
        <is>
          <t>62.140.089/0001-49</t>
        </is>
      </c>
      <c r="D3" s="8" t="inlineStr">
        <is>
          <t>5807</t>
        </is>
      </c>
      <c r="E3" s="9" t="n">
        <v>46225</v>
      </c>
      <c r="F3" s="9" t="n">
        <v>46255</v>
      </c>
      <c r="G3" s="10">
        <f>DATE(2026,10,5)-F3</f>
        <v/>
      </c>
      <c r="H3" s="7" t="inlineStr">
        <is>
          <t>Talmon Almeida Jardim</t>
        </is>
      </c>
      <c r="I3" s="8" t="inlineStr">
        <is>
          <t>5511971277891</t>
        </is>
      </c>
      <c r="J3" s="7" t="n">
        <v>0</v>
      </c>
      <c r="K3" s="7" t="n">
        <v>0</v>
      </c>
    </row>
    <row r="4">
      <c r="A4" s="7" t="inlineStr">
        <is>
          <t>Jimmy Cell</t>
        </is>
      </c>
      <c r="B4" s="7" t="inlineStr">
        <is>
          <t>jimmy-cell</t>
        </is>
      </c>
      <c r="C4" s="8" t="inlineStr">
        <is>
          <t>53.430.251/0001-72</t>
        </is>
      </c>
      <c r="D4" s="8" t="inlineStr">
        <is>
          <t>5811</t>
        </is>
      </c>
      <c r="E4" s="9" t="n">
        <v>46225</v>
      </c>
      <c r="F4" s="9" t="n">
        <v>46255</v>
      </c>
      <c r="G4" s="10">
        <f>DATE(2026,10,5)-F4</f>
        <v/>
      </c>
      <c r="H4" s="7" t="inlineStr">
        <is>
          <t>Ademir Jacobi</t>
        </is>
      </c>
      <c r="I4" s="8" t="inlineStr">
        <is>
          <t>5551982063841</t>
        </is>
      </c>
      <c r="J4" s="7" t="n">
        <v>0</v>
      </c>
      <c r="K4" s="7" t="n">
        <v>0</v>
      </c>
    </row>
    <row r="5">
      <c r="A5" s="7" t="inlineStr">
        <is>
          <t>RN Imports</t>
        </is>
      </c>
      <c r="B5" s="7" t="inlineStr">
        <is>
          <t>rn-imports</t>
        </is>
      </c>
      <c r="C5" s="8" t="inlineStr">
        <is>
          <t>63.330.721/0001-80</t>
        </is>
      </c>
      <c r="D5" s="8" t="inlineStr">
        <is>
          <t>5891</t>
        </is>
      </c>
      <c r="E5" s="9" t="n">
        <v>46232</v>
      </c>
      <c r="F5" s="9" t="n">
        <v>46255</v>
      </c>
      <c r="G5" s="10">
        <f>DATE(2026,10,5)-F5</f>
        <v/>
      </c>
      <c r="H5" s="7" t="inlineStr">
        <is>
          <t>Rafael Costa de Oliveira</t>
        </is>
      </c>
      <c r="I5" s="8" t="inlineStr">
        <is>
          <t>556599483202</t>
        </is>
      </c>
      <c r="J5" s="7" t="n">
        <v>0</v>
      </c>
      <c r="K5" s="7" t="n">
        <v>0</v>
      </c>
    </row>
    <row r="6">
      <c r="A6" s="7" t="inlineStr">
        <is>
          <t>Havok Store</t>
        </is>
      </c>
      <c r="B6" s="7" t="inlineStr">
        <is>
          <t>havok-store</t>
        </is>
      </c>
      <c r="C6" s="8" t="inlineStr">
        <is>
          <t>59.698.371/0001-31</t>
        </is>
      </c>
      <c r="D6" s="8" t="inlineStr">
        <is>
          <t>5895</t>
        </is>
      </c>
      <c r="E6" s="9" t="n">
        <v>46232</v>
      </c>
      <c r="F6" s="9" t="n">
        <v>46255</v>
      </c>
      <c r="G6" s="10">
        <f>DATE(2026,10,5)-F6</f>
        <v/>
      </c>
      <c r="H6" s="7" t="inlineStr">
        <is>
          <t>Bruno Taveira</t>
        </is>
      </c>
      <c r="I6" s="8" t="inlineStr">
        <is>
          <t>5517997649899</t>
        </is>
      </c>
      <c r="J6" s="7" t="n">
        <v>0</v>
      </c>
      <c r="K6" s="7" t="n">
        <v>0</v>
      </c>
    </row>
    <row r="7">
      <c r="A7" s="7" t="inlineStr">
        <is>
          <t>Home Celulares</t>
        </is>
      </c>
      <c r="B7" s="7" t="inlineStr">
        <is>
          <t>home-celulares-business-ltda</t>
        </is>
      </c>
      <c r="C7" s="8" t="inlineStr">
        <is>
          <t>56.439.800/0001-68</t>
        </is>
      </c>
      <c r="D7" s="8" t="inlineStr">
        <is>
          <t>6022</t>
        </is>
      </c>
      <c r="E7" s="9" t="n">
        <v>46239</v>
      </c>
      <c r="F7" s="9" t="n">
        <v>46255</v>
      </c>
      <c r="G7" s="10">
        <f>DATE(2026,10,5)-F7</f>
        <v/>
      </c>
      <c r="H7" s="7" t="inlineStr">
        <is>
          <t>Yago Henrique Ribeiro</t>
        </is>
      </c>
      <c r="I7" s="8" t="inlineStr">
        <is>
          <t>5531982142429</t>
        </is>
      </c>
      <c r="J7" s="7" t="n">
        <v>0</v>
      </c>
      <c r="K7" s="7" t="n">
        <v>0</v>
      </c>
    </row>
    <row r="8">
      <c r="A8" s="7" t="inlineStr">
        <is>
          <t>Feel X</t>
        </is>
      </c>
      <c r="B8" s="7" t="inlineStr">
        <is>
          <t>feel-x</t>
        </is>
      </c>
      <c r="C8" s="8" t="inlineStr">
        <is>
          <t>60.788.463/0001-91</t>
        </is>
      </c>
      <c r="D8" s="8" t="inlineStr">
        <is>
          <t>6104</t>
        </is>
      </c>
      <c r="E8" s="9" t="n">
        <v>46245</v>
      </c>
      <c r="F8" s="9" t="n">
        <v>46255</v>
      </c>
      <c r="G8" s="10">
        <f>DATE(2026,10,5)-F8</f>
        <v/>
      </c>
      <c r="H8" s="7" t="inlineStr">
        <is>
          <t>Felipe</t>
        </is>
      </c>
      <c r="I8" s="8" t="inlineStr">
        <is>
          <t>5594992252689</t>
        </is>
      </c>
      <c r="J8" s="7" t="n">
        <v>0</v>
      </c>
      <c r="K8" s="7" t="n">
        <v>0</v>
      </c>
    </row>
    <row r="9">
      <c r="A9" s="7" t="inlineStr">
        <is>
          <t>OS BigBoyCell</t>
        </is>
      </c>
      <c r="B9" s="7" t="inlineStr">
        <is>
          <t>bigboy-cell</t>
        </is>
      </c>
      <c r="C9" s="8" t="inlineStr">
        <is>
          <t>09.427.385/0001-42</t>
        </is>
      </c>
      <c r="D9" s="8" t="inlineStr">
        <is>
          <t>6175</t>
        </is>
      </c>
      <c r="E9" s="9" t="n">
        <v>46247</v>
      </c>
      <c r="F9" s="9" t="n">
        <v>46255</v>
      </c>
      <c r="G9" s="10">
        <f>DATE(2026,10,5)-F9</f>
        <v/>
      </c>
      <c r="H9" s="7" t="inlineStr">
        <is>
          <t>Leandro</t>
        </is>
      </c>
      <c r="I9" s="8" t="inlineStr">
        <is>
          <t>556281028001</t>
        </is>
      </c>
      <c r="J9" s="7" t="n">
        <v>0</v>
      </c>
      <c r="K9" s="7" t="n">
        <v>0</v>
      </c>
    </row>
    <row r="10">
      <c r="A10" s="7" t="inlineStr">
        <is>
          <t>JF Celulares</t>
        </is>
      </c>
      <c r="B10" s="7" t="inlineStr">
        <is>
          <t>jf-celulares-e-eletronicos</t>
        </is>
      </c>
      <c r="C10" s="8" t="inlineStr">
        <is>
          <t>11.485.662/0001-15</t>
        </is>
      </c>
      <c r="D10" s="8" t="inlineStr">
        <is>
          <t>4852</t>
        </is>
      </c>
      <c r="E10" s="9" t="n">
        <v>46156</v>
      </c>
      <c r="F10" s="9" t="n">
        <v>46261</v>
      </c>
      <c r="G10" s="10">
        <f>DATE(2026,10,5)-F10</f>
        <v/>
      </c>
      <c r="H10" s="7" t="inlineStr">
        <is>
          <t>Fábio Adam</t>
        </is>
      </c>
      <c r="I10" s="8" t="inlineStr">
        <is>
          <t>5541999053122</t>
        </is>
      </c>
      <c r="J10" s="7" t="n">
        <v>0</v>
      </c>
      <c r="K10" s="7" t="n">
        <v>0</v>
      </c>
    </row>
    <row r="11">
      <c r="A11" s="7" t="inlineStr">
        <is>
          <t>Bussis Store</t>
        </is>
      </c>
      <c r="B11" s="7" t="inlineStr">
        <is>
          <t>bussis-store-celulares-ltda</t>
        </is>
      </c>
      <c r="C11" s="8" t="inlineStr">
        <is>
          <t>45.642.018/0001-25</t>
        </is>
      </c>
      <c r="D11" s="8" t="inlineStr">
        <is>
          <t>5126</t>
        </is>
      </c>
      <c r="E11" s="9" t="n">
        <v>46176</v>
      </c>
      <c r="F11" s="9" t="n">
        <v>46261</v>
      </c>
      <c r="G11" s="10">
        <f>DATE(2026,10,5)-F11</f>
        <v/>
      </c>
      <c r="H11" s="7" t="inlineStr">
        <is>
          <t>Guilherme Bussis</t>
        </is>
      </c>
      <c r="I11" s="8" t="inlineStr">
        <is>
          <t>5517991548893</t>
        </is>
      </c>
      <c r="J11" s="7" t="n">
        <v>0</v>
      </c>
      <c r="K11" s="7" t="n">
        <v>0</v>
      </c>
    </row>
    <row r="12">
      <c r="A12" s="7" t="inlineStr">
        <is>
          <t>José Phone</t>
        </is>
      </c>
      <c r="B12" s="7" t="inlineStr">
        <is>
          <t>47.650.302-jose-alberto-de-oliveira-ferreira</t>
        </is>
      </c>
      <c r="C12" s="8" t="inlineStr">
        <is>
          <t>47.650.302/0001-79</t>
        </is>
      </c>
      <c r="D12" s="8" t="inlineStr">
        <is>
          <t>6340</t>
        </is>
      </c>
      <c r="E12" s="9" t="n">
        <v>46259</v>
      </c>
      <c r="F12" s="9" t="n">
        <v>46261</v>
      </c>
      <c r="G12" s="10">
        <f>DATE(2026,10,5)-F12</f>
        <v/>
      </c>
      <c r="H12" s="7" t="inlineStr">
        <is>
          <t>Jose Alberto de Oliveira Ferreira</t>
        </is>
      </c>
      <c r="I12" s="8" t="inlineStr">
        <is>
          <t>5511916932492</t>
        </is>
      </c>
      <c r="J12" s="7" t="n">
        <v>0</v>
      </c>
      <c r="K12" s="7" t="n">
        <v>0</v>
      </c>
    </row>
    <row r="13">
      <c r="A13" s="7" t="inlineStr">
        <is>
          <t>Grupo ABC</t>
        </is>
      </c>
      <c r="B13" s="7" t="inlineStr">
        <is>
          <t>a.-g.-&amp;-m.-c.-empreendimentos-ltda</t>
        </is>
      </c>
      <c r="C13" s="8" t="inlineStr">
        <is>
          <t>51.911.066/0001-74</t>
        </is>
      </c>
      <c r="D13" s="8" t="inlineStr">
        <is>
          <t>6346</t>
        </is>
      </c>
      <c r="E13" s="9" t="n">
        <v>46259</v>
      </c>
      <c r="F13" s="9" t="n">
        <v>46261</v>
      </c>
      <c r="G13" s="10">
        <f>DATE(2026,10,5)-F13</f>
        <v/>
      </c>
      <c r="H13" s="7" t="inlineStr">
        <is>
          <t>Marcio</t>
        </is>
      </c>
      <c r="I13" s="8" t="inlineStr">
        <is>
          <t>559199940002</t>
        </is>
      </c>
      <c r="J13" s="7" t="n">
        <v>0</v>
      </c>
      <c r="K13" s="7" t="n">
        <v>0</v>
      </c>
    </row>
    <row r="14">
      <c r="A14" s="7" t="inlineStr">
        <is>
          <t>Prime Cell</t>
        </is>
      </c>
      <c r="B14" s="7" t="inlineStr">
        <is>
          <t>prime-cell-comercio-e-distribuicao</t>
        </is>
      </c>
      <c r="C14" s="8" t="inlineStr">
        <is>
          <t>15.101.364/0001-35</t>
        </is>
      </c>
      <c r="D14" s="8" t="inlineStr">
        <is>
          <t>6706</t>
        </is>
      </c>
      <c r="E14" s="9" t="n">
        <v>46275</v>
      </c>
      <c r="F14" s="9" t="n">
        <v>46279</v>
      </c>
      <c r="G14" s="10">
        <f>DATE(2026,10,5)-F14</f>
        <v/>
      </c>
      <c r="H14" s="7" t="inlineStr">
        <is>
          <t>Paulo</t>
        </is>
      </c>
      <c r="I14" s="8" t="inlineStr">
        <is>
          <t>559884400980</t>
        </is>
      </c>
      <c r="J14" s="7" t="n">
        <v>0</v>
      </c>
      <c r="K14" s="7" t="n">
        <v>0</v>
      </c>
    </row>
    <row r="15">
      <c r="A15" s="7" t="inlineStr">
        <is>
          <t>Dayane Fernanda dos Santos Silva Eletrônicos</t>
        </is>
      </c>
      <c r="B15" s="7" t="inlineStr">
        <is>
          <t>dayane-fernanda-dos-santos-silva-eletronicos</t>
        </is>
      </c>
      <c r="C15" s="8" t="inlineStr">
        <is>
          <t>47.755.230/0001-24</t>
        </is>
      </c>
      <c r="D15" s="8" t="inlineStr">
        <is>
          <t>6846</t>
        </is>
      </c>
      <c r="E15" s="9" t="n">
        <v>46281</v>
      </c>
      <c r="F15" s="9" t="n">
        <v>46281</v>
      </c>
      <c r="G15" s="10">
        <f>DATE(2026,10,5)-F15</f>
        <v/>
      </c>
      <c r="H15" s="7" t="inlineStr"/>
      <c r="I15" s="8" t="inlineStr">
        <is>
          <t>5511997584569</t>
        </is>
      </c>
      <c r="J15" s="7" t="n">
        <v>0</v>
      </c>
      <c r="K15" s="7" t="n">
        <v>0</v>
      </c>
    </row>
    <row r="16">
      <c r="A16" s="7" t="inlineStr">
        <is>
          <t>Rotec Assistência Técnica</t>
        </is>
      </c>
      <c r="B16" s="7" t="inlineStr">
        <is>
          <t>45.740.215-leila-da-silva</t>
        </is>
      </c>
      <c r="C16" s="8" t="inlineStr">
        <is>
          <t>45.740.215/0001-87</t>
        </is>
      </c>
      <c r="D16" s="8" t="inlineStr">
        <is>
          <t>6929</t>
        </is>
      </c>
      <c r="E16" s="9" t="n">
        <v>46283</v>
      </c>
      <c r="F16" s="9" t="n">
        <v>46286</v>
      </c>
      <c r="G16" s="10">
        <f>DATE(2026,10,5)-F16</f>
        <v/>
      </c>
      <c r="H16" s="7" t="inlineStr">
        <is>
          <t>Rodrigo</t>
        </is>
      </c>
      <c r="I16" s="8" t="inlineStr">
        <is>
          <t>555196376426</t>
        </is>
      </c>
      <c r="J16" s="7" t="n">
        <v>0</v>
      </c>
      <c r="K16" s="7" t="n">
        <v>0</v>
      </c>
    </row>
    <row r="17">
      <c r="A17" s="7" t="inlineStr">
        <is>
          <t>LT Cell Imports</t>
        </is>
      </c>
      <c r="B17" s="7" t="inlineStr">
        <is>
          <t>lt-cell-e-imports</t>
        </is>
      </c>
      <c r="C17" s="8" t="inlineStr">
        <is>
          <t>56.321.897/0001-00</t>
        </is>
      </c>
      <c r="D17" s="8" t="inlineStr">
        <is>
          <t>6928</t>
        </is>
      </c>
      <c r="E17" s="9" t="n">
        <v>46283</v>
      </c>
      <c r="F17" s="9" t="n">
        <v>46286</v>
      </c>
      <c r="G17" s="10">
        <f>DATE(2026,10,5)-F17</f>
        <v/>
      </c>
      <c r="H17" s="7" t="inlineStr">
        <is>
          <t>Leandro</t>
        </is>
      </c>
      <c r="I17" s="8" t="inlineStr">
        <is>
          <t>5541997496021</t>
        </is>
      </c>
      <c r="J17" s="7" t="n">
        <v>0</v>
      </c>
      <c r="K17" s="7" t="n">
        <v>0</v>
      </c>
    </row>
    <row r="18">
      <c r="A18" s="7" t="inlineStr">
        <is>
          <t>Wilshopma</t>
        </is>
      </c>
      <c r="B18" s="7" t="inlineStr">
        <is>
          <t>wilshopbr</t>
        </is>
      </c>
      <c r="C18" s="8" t="inlineStr">
        <is>
          <t>50.662.575/0001-48</t>
        </is>
      </c>
      <c r="D18" s="8" t="inlineStr">
        <is>
          <t>7021</t>
        </is>
      </c>
      <c r="E18" s="9" t="n">
        <v>46289</v>
      </c>
      <c r="F18" s="9" t="n">
        <v>46290</v>
      </c>
      <c r="G18" s="10">
        <f>DATE(2026,10,5)-F18</f>
        <v/>
      </c>
      <c r="H18" s="7" t="inlineStr">
        <is>
          <t>Willker</t>
        </is>
      </c>
      <c r="I18" s="8" t="inlineStr">
        <is>
          <t>5599984928574</t>
        </is>
      </c>
      <c r="J18" s="7" t="n">
        <v>0</v>
      </c>
      <c r="K18" s="7" t="n">
        <v>0</v>
      </c>
    </row>
  </sheetData>
  <autoFilter ref="A1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2026-10-05T15:56:10Z</dcterms:created>
  <dcterms:modified xmlns:dcterms="http://purl.org/dc/terms/" xmlns:xsi="http://www.w3.org/2001/XMLSchema-instance" xsi:type="dcterms:W3CDTF">2026-10-05T15:56:10Z</dcterms:modified>
</cp:coreProperties>
</file>